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J19" i="1"/>
  <c r="J20" i="1"/>
  <c r="J21" i="1"/>
  <c r="J15" i="1"/>
  <c r="J16" i="1"/>
  <c r="J5" i="1"/>
  <c r="J6" i="1"/>
  <c r="J7" i="1"/>
  <c r="J8" i="1"/>
  <c r="J9" i="1"/>
  <c r="J10" i="1"/>
  <c r="J11" i="1"/>
  <c r="J12" i="1"/>
  <c r="J3" i="1"/>
  <c r="J4" i="1"/>
  <c r="J13" i="1"/>
  <c r="J14" i="1"/>
  <c r="J17" i="1"/>
  <c r="J18" i="1"/>
  <c r="J2" i="1"/>
  <c r="I2" i="1"/>
  <c r="H2" i="1"/>
</calcChain>
</file>

<file path=xl/sharedStrings.xml><?xml version="1.0" encoding="utf-8"?>
<sst xmlns="http://schemas.openxmlformats.org/spreadsheetml/2006/main" count="56" uniqueCount="37">
  <si>
    <t>sr no</t>
  </si>
  <si>
    <t>Gender</t>
  </si>
  <si>
    <t>Marks in english</t>
  </si>
  <si>
    <t>Marks in maths</t>
  </si>
  <si>
    <t>Name</t>
  </si>
  <si>
    <t>Marks in science</t>
  </si>
  <si>
    <t>Marks in cs</t>
  </si>
  <si>
    <t>Total</t>
  </si>
  <si>
    <t>Percentage</t>
  </si>
  <si>
    <t>Result</t>
  </si>
  <si>
    <t>chinmay</t>
  </si>
  <si>
    <t>Shella</t>
  </si>
  <si>
    <t>Nirmala</t>
  </si>
  <si>
    <t>Jyoti</t>
  </si>
  <si>
    <t>Saraswati</t>
  </si>
  <si>
    <t>Rakhi</t>
  </si>
  <si>
    <t>Sakhi</t>
  </si>
  <si>
    <t>Sakshi</t>
  </si>
  <si>
    <t>Shreya</t>
  </si>
  <si>
    <t>Rani</t>
  </si>
  <si>
    <t>Pari</t>
  </si>
  <si>
    <t>Shitij</t>
  </si>
  <si>
    <t>Tejas</t>
  </si>
  <si>
    <t>Yash</t>
  </si>
  <si>
    <t>Raj</t>
  </si>
  <si>
    <t>Bhavesh</t>
  </si>
  <si>
    <t>Sharvesh</t>
  </si>
  <si>
    <t>Nayan</t>
  </si>
  <si>
    <t>Karan</t>
  </si>
  <si>
    <t>Harshal</t>
  </si>
  <si>
    <t>M</t>
  </si>
  <si>
    <t>F</t>
  </si>
  <si>
    <t>grade</t>
  </si>
  <si>
    <t>Rank</t>
  </si>
  <si>
    <t>name</t>
  </si>
  <si>
    <t>total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</si>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</sst>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1" xfId="3" applyFill="1" applyBorder="1"/>
  </cellXfs>
  <cellStyles count="4">
    <cellStyle name="Bad" xfId="2" builtinId="27"/>
    <cellStyle name="Good" xfId="1" builtinId="26"/>
    <cellStyle name="Normal" xfId="0" builtinId="0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M3" sqref="M3"/>
    </sheetView>
  </sheetViews>
  <sheetFormatPr defaultRowHeight="15" x14ac:dyDescent="0.25"/>
  <cols>
    <col min="3" max="3" width="7.5703125" customWidth="1"/>
    <col min="4" max="4" width="15.42578125" bestFit="1" customWidth="1"/>
    <col min="5" max="5" width="14.42578125" customWidth="1"/>
    <col min="6" max="6" width="15.28515625" customWidth="1"/>
    <col min="7" max="7" width="10.5703125" customWidth="1"/>
    <col min="9" max="9" width="10.85546875" customWidth="1"/>
  </cols>
  <sheetData>
    <row r="1" spans="1:12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</v>
      </c>
      <c r="L1" t="s">
        <v>33</v>
      </c>
    </row>
    <row r="2" spans="1:12" x14ac:dyDescent="0.25">
      <c r="A2">
        <v>1</v>
      </c>
      <c r="B2" t="s">
        <v>10</v>
      </c>
      <c r="C2" t="s">
        <v>30</v>
      </c>
      <c r="D2">
        <v>73</v>
      </c>
      <c r="E2">
        <v>84</v>
      </c>
      <c r="F2">
        <v>43</v>
      </c>
      <c r="G2">
        <v>98</v>
      </c>
      <c r="H2" s="3">
        <f>SUM(D2:F2)</f>
        <v>200</v>
      </c>
      <c r="I2" s="3">
        <f>AVERAGE(D1:E2:F2)</f>
        <v>66.666666666666671</v>
      </c>
      <c r="J2" s="2" t="str">
        <f>IF(AND(D2&gt;=50,E2&gt;=50,F2&gt;=50,G2&gt;=50),"PASS","FAIL")</f>
        <v>FAIL</v>
      </c>
      <c r="K2" t="str">
        <f>IF(J2="FAIL","",(IF(I2&gt;90,"A+",IF(I2&gt;80,"A",IF(I2&gt;70,"B+",IF(I2&gt;60,"B","C"))))))</f>
        <v/>
      </c>
      <c r="L2" t="str">
        <f>IF(J2="FAIL","",RANK(I2,$I$2:$I$21,0))</f>
        <v/>
      </c>
    </row>
    <row r="3" spans="1:12" x14ac:dyDescent="0.25">
      <c r="A3">
        <v>2</v>
      </c>
      <c r="B3" t="s">
        <v>11</v>
      </c>
      <c r="C3" t="s">
        <v>31</v>
      </c>
      <c r="D3">
        <v>46</v>
      </c>
      <c r="E3">
        <v>56</v>
      </c>
      <c r="F3">
        <v>65</v>
      </c>
      <c r="G3">
        <v>89</v>
      </c>
      <c r="H3" s="3">
        <f t="shared" ref="H3:H21" si="0">SUM(D3:F3)</f>
        <v>167</v>
      </c>
      <c r="I3" s="3">
        <f>AVERAGE(D2:E3:F3)</f>
        <v>61.166666666666664</v>
      </c>
      <c r="J3" s="2" t="str">
        <f t="shared" ref="J3:J21" si="1">IF(AND(D3&gt;=50,E3&gt;=50,F3&gt;=50,G3&gt;=50),"PASS","FAIL")</f>
        <v>FAIL</v>
      </c>
      <c r="K3" t="str">
        <f t="shared" ref="K3:K21" si="2">IF(J3="FAIL","",(IF(I3&gt;90,"A+",IF(I3&gt;80,"A",IF(I3&gt;70,"B+",IF(I3&gt;60,"B","C"))))))</f>
        <v/>
      </c>
      <c r="L3" t="str">
        <f t="shared" ref="L3:L21" si="3">IF(J3="FAIL","",RANK(I3,$I$2:$I$21,0))</f>
        <v/>
      </c>
    </row>
    <row r="4" spans="1:12" x14ac:dyDescent="0.25">
      <c r="A4">
        <v>3</v>
      </c>
      <c r="B4" t="s">
        <v>12</v>
      </c>
      <c r="C4" t="s">
        <v>31</v>
      </c>
      <c r="D4">
        <v>89</v>
      </c>
      <c r="E4">
        <v>87</v>
      </c>
      <c r="F4">
        <v>56</v>
      </c>
      <c r="G4">
        <v>78</v>
      </c>
      <c r="H4" s="3">
        <f t="shared" si="0"/>
        <v>232</v>
      </c>
      <c r="I4" s="3">
        <f>AVERAGE(D3:E4:F4)</f>
        <v>66.5</v>
      </c>
      <c r="J4" s="1" t="str">
        <f t="shared" si="1"/>
        <v>PASS</v>
      </c>
      <c r="K4" t="str">
        <f t="shared" si="2"/>
        <v>B</v>
      </c>
      <c r="L4">
        <f t="shared" si="3"/>
        <v>18</v>
      </c>
    </row>
    <row r="5" spans="1:12" x14ac:dyDescent="0.25">
      <c r="A5">
        <v>4</v>
      </c>
      <c r="B5" t="s">
        <v>13</v>
      </c>
      <c r="C5" t="s">
        <v>31</v>
      </c>
      <c r="D5">
        <v>87</v>
      </c>
      <c r="E5">
        <v>78</v>
      </c>
      <c r="F5">
        <v>76</v>
      </c>
      <c r="G5">
        <v>86</v>
      </c>
      <c r="H5" s="3">
        <f t="shared" si="0"/>
        <v>241</v>
      </c>
      <c r="I5" s="3">
        <f>AVERAGE(D4:E5:F5)</f>
        <v>78.833333333333329</v>
      </c>
      <c r="J5" s="1" t="str">
        <f t="shared" si="1"/>
        <v>PASS</v>
      </c>
      <c r="K5" t="str">
        <f t="shared" si="2"/>
        <v>B+</v>
      </c>
      <c r="L5">
        <f t="shared" si="3"/>
        <v>5</v>
      </c>
    </row>
    <row r="6" spans="1:12" x14ac:dyDescent="0.25">
      <c r="A6">
        <v>5</v>
      </c>
      <c r="B6" t="s">
        <v>14</v>
      </c>
      <c r="C6" t="s">
        <v>31</v>
      </c>
      <c r="D6">
        <v>67</v>
      </c>
      <c r="E6">
        <v>67</v>
      </c>
      <c r="F6">
        <v>67</v>
      </c>
      <c r="G6">
        <v>68</v>
      </c>
      <c r="H6" s="3">
        <f t="shared" si="0"/>
        <v>201</v>
      </c>
      <c r="I6" s="3">
        <f>AVERAGE(D5:E6:F6)</f>
        <v>73.666666666666671</v>
      </c>
      <c r="J6" s="1" t="str">
        <f t="shared" si="1"/>
        <v>PASS</v>
      </c>
      <c r="K6" t="str">
        <f t="shared" si="2"/>
        <v>B+</v>
      </c>
      <c r="L6">
        <f t="shared" si="3"/>
        <v>11</v>
      </c>
    </row>
    <row r="7" spans="1:12" x14ac:dyDescent="0.25">
      <c r="A7">
        <v>6</v>
      </c>
      <c r="B7" t="s">
        <v>15</v>
      </c>
      <c r="C7" t="s">
        <v>31</v>
      </c>
      <c r="D7">
        <v>78</v>
      </c>
      <c r="E7">
        <v>66</v>
      </c>
      <c r="F7">
        <v>86</v>
      </c>
      <c r="G7">
        <v>65</v>
      </c>
      <c r="H7" s="3">
        <f t="shared" si="0"/>
        <v>230</v>
      </c>
      <c r="I7" s="3">
        <f>AVERAGE(D6:E7:F7)</f>
        <v>71.833333333333329</v>
      </c>
      <c r="J7" s="1" t="str">
        <f t="shared" si="1"/>
        <v>PASS</v>
      </c>
      <c r="K7" t="str">
        <f t="shared" si="2"/>
        <v>B+</v>
      </c>
      <c r="L7">
        <f t="shared" si="3"/>
        <v>13</v>
      </c>
    </row>
    <row r="8" spans="1:12" x14ac:dyDescent="0.25">
      <c r="A8">
        <v>7</v>
      </c>
      <c r="B8" t="s">
        <v>16</v>
      </c>
      <c r="C8" t="s">
        <v>31</v>
      </c>
      <c r="D8">
        <v>78</v>
      </c>
      <c r="E8">
        <v>76</v>
      </c>
      <c r="F8">
        <v>86</v>
      </c>
      <c r="G8">
        <v>65</v>
      </c>
      <c r="H8" s="3">
        <f t="shared" si="0"/>
        <v>240</v>
      </c>
      <c r="I8" s="3">
        <f>AVERAGE(D7:E8:F8)</f>
        <v>78.333333333333329</v>
      </c>
      <c r="J8" s="1" t="str">
        <f t="shared" si="1"/>
        <v>PASS</v>
      </c>
      <c r="K8" t="str">
        <f t="shared" si="2"/>
        <v>B+</v>
      </c>
      <c r="L8">
        <f t="shared" si="3"/>
        <v>7</v>
      </c>
    </row>
    <row r="9" spans="1:12" x14ac:dyDescent="0.25">
      <c r="A9">
        <v>8</v>
      </c>
      <c r="B9" t="s">
        <v>17</v>
      </c>
      <c r="C9" t="s">
        <v>31</v>
      </c>
      <c r="D9">
        <v>95</v>
      </c>
      <c r="E9">
        <v>56</v>
      </c>
      <c r="F9">
        <v>57</v>
      </c>
      <c r="G9">
        <v>59</v>
      </c>
      <c r="H9" s="3">
        <f t="shared" si="0"/>
        <v>208</v>
      </c>
      <c r="I9" s="3">
        <f>AVERAGE(D8:E9:F9)</f>
        <v>74.666666666666671</v>
      </c>
      <c r="J9" s="1" t="str">
        <f t="shared" si="1"/>
        <v>PASS</v>
      </c>
      <c r="K9" t="str">
        <f t="shared" si="2"/>
        <v>B+</v>
      </c>
      <c r="L9">
        <f t="shared" si="3"/>
        <v>10</v>
      </c>
    </row>
    <row r="10" spans="1:12" x14ac:dyDescent="0.25">
      <c r="A10">
        <v>9</v>
      </c>
      <c r="B10" t="s">
        <v>18</v>
      </c>
      <c r="C10" t="s">
        <v>31</v>
      </c>
      <c r="D10">
        <v>89</v>
      </c>
      <c r="E10">
        <v>97</v>
      </c>
      <c r="F10">
        <v>98</v>
      </c>
      <c r="G10">
        <v>97</v>
      </c>
      <c r="H10" s="3">
        <f t="shared" si="0"/>
        <v>284</v>
      </c>
      <c r="I10" s="3">
        <f>AVERAGE(D9:E10:F10)</f>
        <v>82</v>
      </c>
      <c r="J10" s="1" t="str">
        <f t="shared" si="1"/>
        <v>PASS</v>
      </c>
      <c r="K10" t="str">
        <f t="shared" si="2"/>
        <v>A</v>
      </c>
      <c r="L10">
        <f t="shared" si="3"/>
        <v>4</v>
      </c>
    </row>
    <row r="11" spans="1:12" x14ac:dyDescent="0.25">
      <c r="A11">
        <v>10</v>
      </c>
      <c r="B11" t="s">
        <v>19</v>
      </c>
      <c r="C11" t="s">
        <v>31</v>
      </c>
      <c r="D11">
        <v>87</v>
      </c>
      <c r="E11">
        <v>96</v>
      </c>
      <c r="F11">
        <v>77</v>
      </c>
      <c r="G11">
        <v>87</v>
      </c>
      <c r="H11" s="3">
        <f t="shared" si="0"/>
        <v>260</v>
      </c>
      <c r="I11" s="3">
        <f>AVERAGE(D10:E11:F11)</f>
        <v>90.666666666666671</v>
      </c>
      <c r="J11" s="1" t="str">
        <f t="shared" si="1"/>
        <v>PASS</v>
      </c>
      <c r="K11" t="str">
        <f t="shared" si="2"/>
        <v>A+</v>
      </c>
      <c r="L11">
        <f t="shared" si="3"/>
        <v>1</v>
      </c>
    </row>
    <row r="12" spans="1:12" x14ac:dyDescent="0.25">
      <c r="A12">
        <v>11</v>
      </c>
      <c r="B12" t="s">
        <v>20</v>
      </c>
      <c r="C12" t="s">
        <v>31</v>
      </c>
      <c r="D12">
        <v>67</v>
      </c>
      <c r="E12">
        <v>95</v>
      </c>
      <c r="F12">
        <v>86</v>
      </c>
      <c r="G12">
        <v>67</v>
      </c>
      <c r="H12" s="3">
        <f t="shared" si="0"/>
        <v>248</v>
      </c>
      <c r="I12" s="3">
        <f>AVERAGE(D11:E12:F12)</f>
        <v>84.666666666666671</v>
      </c>
      <c r="J12" s="1" t="str">
        <f t="shared" si="1"/>
        <v>PASS</v>
      </c>
      <c r="K12" t="str">
        <f t="shared" si="2"/>
        <v>A</v>
      </c>
      <c r="L12">
        <f t="shared" si="3"/>
        <v>2</v>
      </c>
    </row>
    <row r="13" spans="1:12" x14ac:dyDescent="0.25">
      <c r="A13">
        <v>12</v>
      </c>
      <c r="B13" t="s">
        <v>21</v>
      </c>
      <c r="C13" t="s">
        <v>30</v>
      </c>
      <c r="D13">
        <v>76</v>
      </c>
      <c r="E13">
        <v>45</v>
      </c>
      <c r="F13">
        <v>67</v>
      </c>
      <c r="G13">
        <v>76</v>
      </c>
      <c r="H13" s="3">
        <f t="shared" si="0"/>
        <v>188</v>
      </c>
      <c r="I13" s="3">
        <f>AVERAGE(D12:E13:F13)</f>
        <v>72.666666666666671</v>
      </c>
      <c r="J13" s="2" t="str">
        <f t="shared" si="1"/>
        <v>FAIL</v>
      </c>
      <c r="K13" t="str">
        <f t="shared" si="2"/>
        <v/>
      </c>
      <c r="L13" t="str">
        <f t="shared" si="3"/>
        <v/>
      </c>
    </row>
    <row r="14" spans="1:12" x14ac:dyDescent="0.25">
      <c r="A14">
        <v>13</v>
      </c>
      <c r="B14" t="s">
        <v>22</v>
      </c>
      <c r="C14" t="s">
        <v>30</v>
      </c>
      <c r="D14">
        <v>67</v>
      </c>
      <c r="E14">
        <v>65</v>
      </c>
      <c r="F14">
        <v>65</v>
      </c>
      <c r="G14">
        <v>78</v>
      </c>
      <c r="H14" s="3">
        <f t="shared" si="0"/>
        <v>197</v>
      </c>
      <c r="I14" s="3">
        <f>AVERAGE(D13:E14:F14)</f>
        <v>64.166666666666671</v>
      </c>
      <c r="J14" s="1" t="str">
        <f t="shared" si="1"/>
        <v>PASS</v>
      </c>
      <c r="K14" t="str">
        <f t="shared" si="2"/>
        <v>B</v>
      </c>
      <c r="L14">
        <f t="shared" si="3"/>
        <v>19</v>
      </c>
    </row>
    <row r="15" spans="1:12" x14ac:dyDescent="0.25">
      <c r="A15">
        <v>14</v>
      </c>
      <c r="B15" t="s">
        <v>23</v>
      </c>
      <c r="C15" t="s">
        <v>30</v>
      </c>
      <c r="D15">
        <v>65</v>
      </c>
      <c r="E15">
        <v>65</v>
      </c>
      <c r="F15">
        <v>98</v>
      </c>
      <c r="G15">
        <v>90</v>
      </c>
      <c r="H15" s="3">
        <f t="shared" si="0"/>
        <v>228</v>
      </c>
      <c r="I15" s="3">
        <f>AVERAGE(D14:E15:F15)</f>
        <v>70.833333333333329</v>
      </c>
      <c r="J15" s="1" t="str">
        <f t="shared" si="1"/>
        <v>PASS</v>
      </c>
      <c r="K15" t="str">
        <f t="shared" si="2"/>
        <v>B+</v>
      </c>
      <c r="L15">
        <f t="shared" si="3"/>
        <v>14</v>
      </c>
    </row>
    <row r="16" spans="1:12" x14ac:dyDescent="0.25">
      <c r="A16">
        <v>15</v>
      </c>
      <c r="B16" t="s">
        <v>24</v>
      </c>
      <c r="C16" t="s">
        <v>30</v>
      </c>
      <c r="D16">
        <v>60</v>
      </c>
      <c r="E16">
        <v>64</v>
      </c>
      <c r="F16">
        <v>67</v>
      </c>
      <c r="G16">
        <v>65</v>
      </c>
      <c r="H16" s="3">
        <f t="shared" si="0"/>
        <v>191</v>
      </c>
      <c r="I16" s="3">
        <f>AVERAGE(D15:E16:F16)</f>
        <v>69.833333333333329</v>
      </c>
      <c r="J16" s="1" t="str">
        <f t="shared" si="1"/>
        <v>PASS</v>
      </c>
      <c r="K16" t="str">
        <f t="shared" si="2"/>
        <v>B</v>
      </c>
      <c r="L16">
        <f t="shared" si="3"/>
        <v>15</v>
      </c>
    </row>
    <row r="17" spans="1:12" x14ac:dyDescent="0.25">
      <c r="A17">
        <v>16</v>
      </c>
      <c r="B17" t="s">
        <v>25</v>
      </c>
      <c r="C17" t="s">
        <v>30</v>
      </c>
      <c r="D17">
        <v>86</v>
      </c>
      <c r="E17">
        <v>45</v>
      </c>
      <c r="F17">
        <v>89</v>
      </c>
      <c r="G17">
        <v>89</v>
      </c>
      <c r="H17" s="3">
        <f t="shared" si="0"/>
        <v>220</v>
      </c>
      <c r="I17" s="3">
        <f>AVERAGE(D16:E17:F17)</f>
        <v>68.5</v>
      </c>
      <c r="J17" s="2" t="str">
        <f t="shared" si="1"/>
        <v>FAIL</v>
      </c>
      <c r="K17" t="str">
        <f t="shared" si="2"/>
        <v/>
      </c>
      <c r="L17" t="str">
        <f t="shared" si="3"/>
        <v/>
      </c>
    </row>
    <row r="18" spans="1:12" x14ac:dyDescent="0.25">
      <c r="A18">
        <v>17</v>
      </c>
      <c r="B18" t="s">
        <v>26</v>
      </c>
      <c r="C18" t="s">
        <v>30</v>
      </c>
      <c r="D18">
        <v>65</v>
      </c>
      <c r="E18">
        <v>88</v>
      </c>
      <c r="F18">
        <v>99</v>
      </c>
      <c r="G18">
        <v>76</v>
      </c>
      <c r="H18" s="3">
        <f t="shared" si="0"/>
        <v>252</v>
      </c>
      <c r="I18" s="3">
        <f>AVERAGE(D17:E18:F18)</f>
        <v>78.666666666666671</v>
      </c>
      <c r="J18" s="1" t="str">
        <f t="shared" si="1"/>
        <v>PASS</v>
      </c>
      <c r="K18" t="str">
        <f t="shared" si="2"/>
        <v>B+</v>
      </c>
      <c r="L18">
        <f t="shared" si="3"/>
        <v>6</v>
      </c>
    </row>
    <row r="19" spans="1:12" x14ac:dyDescent="0.25">
      <c r="A19">
        <v>18</v>
      </c>
      <c r="B19" t="s">
        <v>27</v>
      </c>
      <c r="C19" t="s">
        <v>30</v>
      </c>
      <c r="D19">
        <v>76</v>
      </c>
      <c r="E19">
        <v>89</v>
      </c>
      <c r="F19">
        <v>88</v>
      </c>
      <c r="G19">
        <v>65</v>
      </c>
      <c r="H19" s="3">
        <f t="shared" si="0"/>
        <v>253</v>
      </c>
      <c r="I19" s="3">
        <f>AVERAGE(D18:E19:F19)</f>
        <v>84.166666666666671</v>
      </c>
      <c r="J19" s="1" t="str">
        <f t="shared" si="1"/>
        <v>PASS</v>
      </c>
      <c r="K19" t="str">
        <f t="shared" si="2"/>
        <v>A</v>
      </c>
      <c r="L19">
        <f t="shared" si="3"/>
        <v>3</v>
      </c>
    </row>
    <row r="20" spans="1:12" x14ac:dyDescent="0.25">
      <c r="A20">
        <v>19</v>
      </c>
      <c r="B20" t="s">
        <v>28</v>
      </c>
      <c r="C20" t="s">
        <v>30</v>
      </c>
      <c r="D20">
        <v>56</v>
      </c>
      <c r="E20">
        <v>67</v>
      </c>
      <c r="F20">
        <v>77</v>
      </c>
      <c r="G20">
        <v>65</v>
      </c>
      <c r="H20" s="3">
        <f t="shared" si="0"/>
        <v>200</v>
      </c>
      <c r="I20" s="3">
        <f>AVERAGE(D19:E20:F20)</f>
        <v>75.5</v>
      </c>
      <c r="J20" s="1" t="str">
        <f t="shared" si="1"/>
        <v>PASS</v>
      </c>
      <c r="K20" t="str">
        <f t="shared" si="2"/>
        <v>B+</v>
      </c>
      <c r="L20">
        <f t="shared" si="3"/>
        <v>8</v>
      </c>
    </row>
    <row r="21" spans="1:12" x14ac:dyDescent="0.25">
      <c r="A21">
        <v>20</v>
      </c>
      <c r="B21" t="s">
        <v>29</v>
      </c>
      <c r="C21" t="s">
        <v>30</v>
      </c>
      <c r="D21">
        <v>98</v>
      </c>
      <c r="E21">
        <v>56</v>
      </c>
      <c r="F21">
        <v>98</v>
      </c>
      <c r="G21">
        <v>56</v>
      </c>
      <c r="H21" s="3">
        <f t="shared" si="0"/>
        <v>252</v>
      </c>
      <c r="I21" s="3">
        <f>AVERAGE(D20:E21:F21)</f>
        <v>75.333333333333329</v>
      </c>
      <c r="J21" s="1" t="str">
        <f t="shared" si="1"/>
        <v>PASS</v>
      </c>
      <c r="K21" t="str">
        <f t="shared" si="2"/>
        <v>B+</v>
      </c>
      <c r="L21">
        <f t="shared" si="3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2" sqref="B2"/>
    </sheetView>
  </sheetViews>
  <sheetFormatPr defaultRowHeight="15" x14ac:dyDescent="0.25"/>
  <cols>
    <col min="3" max="3" width="9" customWidth="1"/>
  </cols>
  <sheetData>
    <row r="1" spans="1:4" x14ac:dyDescent="0.25">
      <c r="A1" t="s">
        <v>0</v>
      </c>
      <c r="B1" t="s">
        <v>34</v>
      </c>
      <c r="C1" t="s">
        <v>35</v>
      </c>
      <c r="D1" t="s">
        <v>36</v>
      </c>
    </row>
    <row r="2" spans="1:4" x14ac:dyDescent="0.25">
      <c r="A2">
        <v>1</v>
      </c>
      <c r="B2" t="str">
        <f>VLOOKUP(A2,Sheet1!A2:L21,2,FALSE)</f>
        <v>chinmay</v>
      </c>
      <c r="C2">
        <f>VLOOKUP(A2,Sheet1!A2:L21,8,FALSE)</f>
        <v>200</v>
      </c>
      <c r="D2" t="str">
        <f>VLOOKUP(A2,Sheet1!A2:L21,10,FALSE)</f>
        <v>FAIL</v>
      </c>
    </row>
    <row r="3" spans="1:4" x14ac:dyDescent="0.25">
      <c r="A3">
        <v>2</v>
      </c>
      <c r="B3" t="str">
        <f>VLOOKUP(A3,Sheet1!A3:L22,2,FALSE)</f>
        <v>Shella</v>
      </c>
      <c r="C3">
        <f>VLOOKUP(A3,Sheet1!A3:L22,8,FALSE)</f>
        <v>167</v>
      </c>
      <c r="D3" t="str">
        <f>VLOOKUP(A3,Sheet1!A3:L22,10,FALSE)</f>
        <v>FAIL</v>
      </c>
    </row>
    <row r="4" spans="1:4" x14ac:dyDescent="0.25">
      <c r="A4">
        <v>3</v>
      </c>
      <c r="B4" t="str">
        <f>VLOOKUP(A4,Sheet1!A4:L23,2,FALSE)</f>
        <v>Nirmala</v>
      </c>
      <c r="C4">
        <f>VLOOKUP(A4,Sheet1!A4:L23,8,FALSE)</f>
        <v>232</v>
      </c>
      <c r="D4" t="str">
        <f>VLOOKUP(A4,Sheet1!A4:L23,10,FALSE)</f>
        <v>PASS</v>
      </c>
    </row>
    <row r="5" spans="1:4" x14ac:dyDescent="0.25">
      <c r="A5">
        <v>4</v>
      </c>
      <c r="B5" t="str">
        <f>VLOOKUP(A5,Sheet1!A5:L24,2,FALSE)</f>
        <v>Jyoti</v>
      </c>
      <c r="C5">
        <f>VLOOKUP(A5,Sheet1!A5:L24,8,FALSE)</f>
        <v>241</v>
      </c>
      <c r="D5" t="str">
        <f>VLOOKUP(A5,Sheet1!A5:L24,10,FALSE)</f>
        <v>PASS</v>
      </c>
    </row>
    <row r="6" spans="1:4" x14ac:dyDescent="0.25">
      <c r="A6">
        <v>5</v>
      </c>
      <c r="B6" t="str">
        <f>VLOOKUP(A6,Sheet1!A6:L25,2,FALSE)</f>
        <v>Saraswati</v>
      </c>
      <c r="C6">
        <f>VLOOKUP(A6,Sheet1!A6:L25,8,FALSE)</f>
        <v>201</v>
      </c>
      <c r="D6" t="str">
        <f>VLOOKUP(A6,Sheet1!A6:L25,10,FALSE)</f>
        <v>PASS</v>
      </c>
    </row>
    <row r="7" spans="1:4" x14ac:dyDescent="0.25">
      <c r="A7">
        <v>6</v>
      </c>
      <c r="B7" t="str">
        <f>VLOOKUP(A7,Sheet1!A7:L26,2,FALSE)</f>
        <v>Rakhi</v>
      </c>
      <c r="C7">
        <f>VLOOKUP(A7,Sheet1!A7:L26,8,FALSE)</f>
        <v>230</v>
      </c>
      <c r="D7" t="str">
        <f>VLOOKUP(A7,Sheet1!A7:L26,10,FALSE)</f>
        <v>PASS</v>
      </c>
    </row>
    <row r="8" spans="1:4" x14ac:dyDescent="0.25">
      <c r="A8">
        <v>7</v>
      </c>
      <c r="B8" t="str">
        <f>VLOOKUP(A8,Sheet1!A8:L27,2,FALSE)</f>
        <v>Sakhi</v>
      </c>
      <c r="C8">
        <f>VLOOKUP(A8,Sheet1!A8:L27,8,FALSE)</f>
        <v>240</v>
      </c>
      <c r="D8" t="str">
        <f>VLOOKUP(A8,Sheet1!A8:L27,10,FALSE)</f>
        <v>PASS</v>
      </c>
    </row>
    <row r="9" spans="1:4" x14ac:dyDescent="0.25">
      <c r="A9">
        <v>8</v>
      </c>
      <c r="B9" t="str">
        <f>VLOOKUP(A9,Sheet1!A9:L28,2,FALSE)</f>
        <v>Sakshi</v>
      </c>
      <c r="C9">
        <f>VLOOKUP(A9,Sheet1!A9:L28,8,FALSE)</f>
        <v>208</v>
      </c>
      <c r="D9" t="str">
        <f>VLOOKUP(A9,Sheet1!A9:L28,10,FALSE)</f>
        <v>PASS</v>
      </c>
    </row>
    <row r="10" spans="1:4" x14ac:dyDescent="0.25">
      <c r="A10">
        <v>9</v>
      </c>
      <c r="B10" t="str">
        <f>VLOOKUP(A10,Sheet1!A10:L29,2,FALSE)</f>
        <v>Shreya</v>
      </c>
      <c r="C10">
        <f>VLOOKUP(A10,Sheet1!A10:L29,8,FALSE)</f>
        <v>284</v>
      </c>
      <c r="D10" t="str">
        <f>VLOOKUP(A10,Sheet1!A10:L29,10,FALSE)</f>
        <v>PASS</v>
      </c>
    </row>
    <row r="11" spans="1:4" x14ac:dyDescent="0.25">
      <c r="A11">
        <v>10</v>
      </c>
      <c r="B11" t="str">
        <f>VLOOKUP(A11,Sheet1!A11:L30,2,FALSE)</f>
        <v>Rani</v>
      </c>
      <c r="C11">
        <f>VLOOKUP(A11,Sheet1!A11:L30,8,FALSE)</f>
        <v>260</v>
      </c>
      <c r="D11" t="str">
        <f>VLOOKUP(A11,Sheet1!A11:L30,10,FALSE)</f>
        <v>PASS</v>
      </c>
    </row>
    <row r="12" spans="1:4" x14ac:dyDescent="0.25">
      <c r="A12">
        <v>11</v>
      </c>
      <c r="B12" t="str">
        <f>VLOOKUP(A12,Sheet1!A12:L31,2,FALSE)</f>
        <v>Pari</v>
      </c>
      <c r="C12">
        <f>VLOOKUP(A12,Sheet1!A12:L31,8,FALSE)</f>
        <v>248</v>
      </c>
      <c r="D12" t="str">
        <f>VLOOKUP(A12,Sheet1!A12:L31,10,FALSE)</f>
        <v>PASS</v>
      </c>
    </row>
    <row r="13" spans="1:4" x14ac:dyDescent="0.25">
      <c r="A13">
        <v>12</v>
      </c>
      <c r="B13" t="str">
        <f>VLOOKUP(A13,Sheet1!A13:L32,2,FALSE)</f>
        <v>Shitij</v>
      </c>
      <c r="C13">
        <f>VLOOKUP(A13,Sheet1!A13:L32,8,FALSE)</f>
        <v>188</v>
      </c>
      <c r="D13" t="str">
        <f>VLOOKUP(A13,Sheet1!A13:L32,10,FALSE)</f>
        <v>FAIL</v>
      </c>
    </row>
    <row r="14" spans="1:4" x14ac:dyDescent="0.25">
      <c r="A14">
        <v>13</v>
      </c>
      <c r="B14" t="str">
        <f>VLOOKUP(A14,Sheet1!A14:L33,2,FALSE)</f>
        <v>Tejas</v>
      </c>
      <c r="C14">
        <f>VLOOKUP(A14,Sheet1!A14:L33,8,FALSE)</f>
        <v>197</v>
      </c>
      <c r="D14" t="str">
        <f>VLOOKUP(A14,Sheet1!A14:L33,10,FALSE)</f>
        <v>PASS</v>
      </c>
    </row>
    <row r="15" spans="1:4" x14ac:dyDescent="0.25">
      <c r="A15">
        <v>14</v>
      </c>
      <c r="B15" t="str">
        <f>VLOOKUP(A15,Sheet1!A15:L34,2,FALSE)</f>
        <v>Yash</v>
      </c>
      <c r="C15">
        <f>VLOOKUP(A15,Sheet1!A15:L34,8,FALSE)</f>
        <v>228</v>
      </c>
      <c r="D15" t="str">
        <f>VLOOKUP(A15,Sheet1!A15:L34,10,FALSE)</f>
        <v>PASS</v>
      </c>
    </row>
    <row r="16" spans="1:4" x14ac:dyDescent="0.25">
      <c r="A16">
        <v>15</v>
      </c>
      <c r="B16" t="str">
        <f>VLOOKUP(A16,Sheet1!A16:L35,2,FALSE)</f>
        <v>Raj</v>
      </c>
      <c r="C16">
        <f>VLOOKUP(A16,Sheet1!A16:L35,8,FALSE)</f>
        <v>191</v>
      </c>
      <c r="D16" t="str">
        <f>VLOOKUP(A16,Sheet1!A16:L35,10,FALSE)</f>
        <v>PASS</v>
      </c>
    </row>
    <row r="17" spans="1:4" x14ac:dyDescent="0.25">
      <c r="A17">
        <v>16</v>
      </c>
      <c r="B17" t="str">
        <f>VLOOKUP(A17,Sheet1!A17:L36,2,FALSE)</f>
        <v>Bhavesh</v>
      </c>
      <c r="C17">
        <f>VLOOKUP(A17,Sheet1!A17:L36,8,FALSE)</f>
        <v>220</v>
      </c>
      <c r="D17" t="str">
        <f>VLOOKUP(A17,Sheet1!A17:L36,10,FALSE)</f>
        <v>FAIL</v>
      </c>
    </row>
    <row r="18" spans="1:4" x14ac:dyDescent="0.25">
      <c r="A18">
        <v>17</v>
      </c>
      <c r="B18" t="str">
        <f>VLOOKUP(A18,Sheet1!A18:L37,2,FALSE)</f>
        <v>Sharvesh</v>
      </c>
      <c r="C18">
        <f>VLOOKUP(A18,Sheet1!A18:L37,8,FALSE)</f>
        <v>252</v>
      </c>
      <c r="D18" t="str">
        <f>VLOOKUP(A18,Sheet1!A18:L37,10,FALSE)</f>
        <v>PASS</v>
      </c>
    </row>
    <row r="19" spans="1:4" x14ac:dyDescent="0.25">
      <c r="A19">
        <v>18</v>
      </c>
      <c r="B19" t="str">
        <f>VLOOKUP(A19,Sheet1!A19:L38,2,FALSE)</f>
        <v>Nayan</v>
      </c>
      <c r="C19">
        <f>VLOOKUP(A19,Sheet1!A19:L38,8,FALSE)</f>
        <v>253</v>
      </c>
      <c r="D19" t="str">
        <f>VLOOKUP(A19,Sheet1!A19:L38,10,FALSE)</f>
        <v>PASS</v>
      </c>
    </row>
    <row r="20" spans="1:4" x14ac:dyDescent="0.25">
      <c r="A20">
        <v>19</v>
      </c>
      <c r="B20" t="str">
        <f>VLOOKUP(A20,Sheet1!A20:L39,2,FALSE)</f>
        <v>Karan</v>
      </c>
      <c r="C20">
        <f>VLOOKUP(A20,Sheet1!A20:L39,8,FALSE)</f>
        <v>200</v>
      </c>
      <c r="D20" t="str">
        <f>VLOOKUP(A20,Sheet1!A20:L39,10,FALSE)</f>
        <v>PASS</v>
      </c>
    </row>
    <row r="21" spans="1:4" x14ac:dyDescent="0.25">
      <c r="A21">
        <v>20</v>
      </c>
      <c r="B21" t="str">
        <f>VLOOKUP(A21,Sheet1!A21:L40,2,FALSE)</f>
        <v>Harshal</v>
      </c>
      <c r="C21">
        <f>VLOOKUP(A21,Sheet1!A21:L40,8,FALSE)</f>
        <v>252</v>
      </c>
      <c r="D21" t="str">
        <f>VLOOKUP(A21,Sheet1!A21:L40,10,FALSE)</f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2026-09-17T08:03:29Z</dcterms:created>
  <dcterms:modified xsi:type="dcterms:W3CDTF">2026-09-24T09:11:52Z</dcterms:modified>
</cp:coreProperties>
</file>